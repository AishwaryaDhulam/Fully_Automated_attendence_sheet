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xr:revisionPtr revIDLastSave="0" documentId="8_{5B917938-D89B-4DFA-85D3-7F942BF71BD9}" xr6:coauthVersionLast="47" xr6:coauthVersionMax="47" xr10:uidLastSave="{00000000-0000-0000-0000-000000000000}"/>
  <bookViews>
    <workbookView xWindow="-108" yWindow="-108" windowWidth="23256" windowHeight="12456" activeTab="1" xr2:uid="{5B66EF25-2B94-4ED0-9AFA-AE6A12F44E8C}"/>
  </bookViews>
  <sheets>
    <sheet name="Attendance sheet" sheetId="1" r:id="rId1"/>
    <sheet name="Database" sheetId="4" r:id="rId2"/>
    <sheet name="month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K5" i="4"/>
  <c r="I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5" i="4"/>
  <c r="C1" i="1"/>
  <c r="AI8" i="1"/>
  <c r="AJ8" i="1"/>
  <c r="AL8" i="1"/>
  <c r="AI9" i="1"/>
  <c r="AJ9" i="1"/>
  <c r="AL9" i="1"/>
  <c r="AI10" i="1"/>
  <c r="AJ10" i="1"/>
  <c r="AL10" i="1"/>
  <c r="AI11" i="1"/>
  <c r="AJ11" i="1"/>
  <c r="AL11" i="1"/>
  <c r="AI12" i="1"/>
  <c r="AJ12" i="1"/>
  <c r="AL12" i="1"/>
  <c r="AI13" i="1"/>
  <c r="AJ13" i="1"/>
  <c r="AL13" i="1"/>
  <c r="AI14" i="1"/>
  <c r="AJ14" i="1"/>
  <c r="AL14" i="1"/>
  <c r="AI15" i="1"/>
  <c r="AJ15" i="1"/>
  <c r="AL15" i="1"/>
  <c r="AI16" i="1"/>
  <c r="AJ16" i="1"/>
  <c r="AL16" i="1"/>
  <c r="AI17" i="1"/>
  <c r="AJ17" i="1"/>
  <c r="AL17" i="1"/>
  <c r="AI18" i="1"/>
  <c r="AJ18" i="1"/>
  <c r="AL18" i="1"/>
  <c r="AI19" i="1"/>
  <c r="AJ19" i="1"/>
  <c r="AL19" i="1"/>
  <c r="AI20" i="1"/>
  <c r="AJ20" i="1"/>
  <c r="AL20" i="1"/>
  <c r="AI21" i="1"/>
  <c r="AJ21" i="1"/>
  <c r="AL21" i="1"/>
  <c r="AJ7" i="1"/>
  <c r="AL7" i="1"/>
  <c r="AI7" i="1"/>
  <c r="A3" i="1"/>
  <c r="B3" i="1" s="1"/>
  <c r="C4" i="1" l="1"/>
  <c r="C5" i="1" l="1"/>
  <c r="D4" i="1"/>
  <c r="E4" i="1" l="1"/>
  <c r="D5" i="1"/>
  <c r="F4" i="1" l="1"/>
  <c r="E5" i="1"/>
  <c r="G4" i="1" l="1"/>
  <c r="F5" i="1"/>
  <c r="H4" i="1" l="1"/>
  <c r="G5" i="1"/>
  <c r="I4" i="1" l="1"/>
  <c r="H5" i="1"/>
  <c r="J4" i="1" l="1"/>
  <c r="I5" i="1"/>
  <c r="K4" i="1" l="1"/>
  <c r="J5" i="1"/>
  <c r="L4" i="1" l="1"/>
  <c r="K5" i="1"/>
  <c r="M4" i="1" l="1"/>
  <c r="M5" i="1" s="1"/>
  <c r="L5" i="1"/>
  <c r="N4" i="1" l="1"/>
  <c r="O4" i="1" l="1"/>
  <c r="N5" i="1"/>
  <c r="P4" i="1" l="1"/>
  <c r="O5" i="1"/>
  <c r="Q4" i="1" l="1"/>
  <c r="P5" i="1"/>
  <c r="Q5" i="1" l="1"/>
  <c r="R4" i="1"/>
  <c r="R5" i="1" l="1"/>
  <c r="S4" i="1"/>
  <c r="S5" i="1" l="1"/>
  <c r="T4" i="1"/>
  <c r="T5" i="1" l="1"/>
  <c r="U4" i="1"/>
  <c r="U5" i="1" l="1"/>
  <c r="V4" i="1"/>
  <c r="W4" i="1" l="1"/>
  <c r="V5" i="1"/>
  <c r="X4" i="1" l="1"/>
  <c r="W5" i="1"/>
  <c r="Y4" i="1" l="1"/>
  <c r="X5" i="1"/>
  <c r="Z4" i="1" l="1"/>
  <c r="Y5" i="1"/>
  <c r="AA4" i="1" l="1"/>
  <c r="Z5" i="1"/>
  <c r="AB4" i="1" l="1"/>
  <c r="AA5" i="1"/>
  <c r="AC4" i="1" l="1"/>
  <c r="AB5" i="1"/>
  <c r="AD4" i="1" l="1"/>
  <c r="AC5" i="1"/>
  <c r="AE4" i="1" l="1"/>
  <c r="AD5" i="1"/>
  <c r="AF4" i="1" l="1"/>
  <c r="AE5" i="1"/>
  <c r="AG4" i="1" l="1"/>
  <c r="AF5" i="1"/>
  <c r="AH19" i="1" l="1"/>
  <c r="E17" i="4" s="1"/>
  <c r="AH21" i="1"/>
  <c r="E19" i="4" s="1"/>
  <c r="AH10" i="1"/>
  <c r="E8" i="4" s="1"/>
  <c r="AH17" i="1"/>
  <c r="E15" i="4" s="1"/>
  <c r="AH9" i="1"/>
  <c r="E7" i="4" s="1"/>
  <c r="AH12" i="1"/>
  <c r="E10" i="4" s="1"/>
  <c r="AH20" i="1"/>
  <c r="E18" i="4" s="1"/>
  <c r="AH16" i="1"/>
  <c r="E14" i="4" s="1"/>
  <c r="AH13" i="1"/>
  <c r="E11" i="4" s="1"/>
  <c r="AH18" i="1"/>
  <c r="E16" i="4" s="1"/>
  <c r="AH8" i="1"/>
  <c r="E6" i="4" s="1"/>
  <c r="AH7" i="1"/>
  <c r="E5" i="4" s="1"/>
  <c r="G5" i="4" s="1"/>
  <c r="N5" i="4" s="1"/>
  <c r="AH11" i="1"/>
  <c r="E9" i="4" s="1"/>
  <c r="G9" i="4" s="1"/>
  <c r="AH14" i="1"/>
  <c r="E12" i="4" s="1"/>
  <c r="AH15" i="1"/>
  <c r="E13" i="4" s="1"/>
  <c r="AG5" i="1"/>
  <c r="N15" i="4" l="1"/>
  <c r="G15" i="4"/>
  <c r="G6" i="4"/>
  <c r="N6" i="4" s="1"/>
  <c r="G11" i="4"/>
  <c r="N11" i="4" s="1"/>
  <c r="G14" i="4"/>
  <c r="N14" i="4" s="1"/>
  <c r="G10" i="4"/>
  <c r="N10" i="4" s="1"/>
  <c r="G7" i="4"/>
  <c r="N7" i="4" s="1"/>
  <c r="N13" i="4"/>
  <c r="G13" i="4"/>
  <c r="G8" i="4"/>
  <c r="N8" i="4" s="1"/>
  <c r="G12" i="4"/>
  <c r="N12" i="4" s="1"/>
  <c r="G19" i="4"/>
  <c r="N19" i="4" s="1"/>
  <c r="G16" i="4"/>
  <c r="N16" i="4" s="1"/>
  <c r="G18" i="4"/>
  <c r="N18" i="4" s="1"/>
  <c r="N17" i="4"/>
  <c r="G17" i="4"/>
  <c r="N9" i="4"/>
  <c r="AK9" i="1"/>
  <c r="AK18" i="1"/>
  <c r="AK21" i="1"/>
  <c r="AK15" i="1"/>
  <c r="AK11" i="1"/>
  <c r="AK14" i="1"/>
  <c r="AK17" i="1"/>
  <c r="AK8" i="1"/>
  <c r="AK16" i="1"/>
  <c r="AK19" i="1"/>
  <c r="AK12" i="1"/>
  <c r="AK20" i="1"/>
  <c r="AK7" i="1"/>
  <c r="F5" i="4" s="1"/>
  <c r="H5" i="4" s="1"/>
  <c r="O5" i="4" s="1"/>
  <c r="Q5" i="4" s="1"/>
  <c r="R5" i="4" s="1"/>
  <c r="AK10" i="1"/>
  <c r="AK13" i="1"/>
  <c r="F14" i="4" l="1"/>
  <c r="H14" i="4" s="1"/>
  <c r="O14" i="4" s="1"/>
  <c r="Q14" i="4" s="1"/>
  <c r="R14" i="4" s="1"/>
  <c r="F15" i="4"/>
  <c r="H15" i="4" s="1"/>
  <c r="O15" i="4" s="1"/>
  <c r="Q15" i="4" s="1"/>
  <c r="R15" i="4" s="1"/>
  <c r="F8" i="4"/>
  <c r="H8" i="4" s="1"/>
  <c r="O8" i="4" s="1"/>
  <c r="Q8" i="4" s="1"/>
  <c r="R8" i="4" s="1"/>
  <c r="F16" i="4"/>
  <c r="H16" i="4" s="1"/>
  <c r="O16" i="4" s="1"/>
  <c r="Q16" i="4" s="1"/>
  <c r="R16" i="4" s="1"/>
  <c r="F9" i="4"/>
  <c r="H9" i="4" s="1"/>
  <c r="O9" i="4" s="1"/>
  <c r="Q9" i="4" s="1"/>
  <c r="R9" i="4" s="1"/>
  <c r="F19" i="4"/>
  <c r="H19" i="4" s="1"/>
  <c r="O19" i="4" s="1"/>
  <c r="Q19" i="4" s="1"/>
  <c r="R19" i="4" s="1"/>
  <c r="F7" i="4"/>
  <c r="H7" i="4" s="1"/>
  <c r="O7" i="4" s="1"/>
  <c r="Q7" i="4" s="1"/>
  <c r="R7" i="4" s="1"/>
  <c r="F18" i="4"/>
  <c r="H18" i="4" s="1"/>
  <c r="O18" i="4" s="1"/>
  <c r="Q18" i="4" s="1"/>
  <c r="R18" i="4" s="1"/>
  <c r="F13" i="4"/>
  <c r="H13" i="4" s="1"/>
  <c r="O13" i="4" s="1"/>
  <c r="Q13" i="4" s="1"/>
  <c r="R13" i="4" s="1"/>
  <c r="F10" i="4"/>
  <c r="H10" i="4" s="1"/>
  <c r="O10" i="4" s="1"/>
  <c r="Q10" i="4" s="1"/>
  <c r="R10" i="4" s="1"/>
  <c r="F6" i="4"/>
  <c r="H6" i="4" s="1"/>
  <c r="O6" i="4" s="1"/>
  <c r="Q6" i="4" s="1"/>
  <c r="R6" i="4" s="1"/>
  <c r="F12" i="4"/>
  <c r="H12" i="4" s="1"/>
  <c r="O12" i="4" s="1"/>
  <c r="Q12" i="4" s="1"/>
  <c r="R12" i="4" s="1"/>
  <c r="F11" i="4"/>
  <c r="H11" i="4" s="1"/>
  <c r="O11" i="4" s="1"/>
  <c r="Q11" i="4" s="1"/>
  <c r="R11" i="4" s="1"/>
  <c r="F17" i="4"/>
  <c r="H17" i="4" s="1"/>
  <c r="O17" i="4" s="1"/>
  <c r="Q17" i="4" s="1"/>
  <c r="R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tc={DC34B960-614C-42AE-B570-AA36FA44289B}</author>
    <author>tc={FAAE65AF-A3E6-43FC-8099-3EF68C3377DB}</author>
    <author>tc={951180CD-8A79-44C1-9688-33F50925D1AE}</author>
    <author>tc={3E3A64AA-7E10-4263-80C0-92C588AA4CC9}</author>
    <author>tc={4EBABB77-70ED-49DF-8181-2BCF284E9FA9}</author>
  </authors>
  <commentList>
    <comment ref="I4" authorId="0" shapeId="0" xr:uid="{DC34B960-614C-42AE-B570-AA36FA44289B}">
      <text>
        <t>[Threaded comment]
Your version of Excel allows you to read this threaded comment; however, any edits to it will get removed if the file is opened in a newer version of Excel. Learn more: https://go.microsoft.com/fwlink/?linkid=870924
Comment:
    DA - Dearness Allowance</t>
      </text>
    </comment>
    <comment ref="K4" authorId="1" shapeId="0" xr:uid="{FAAE65AF-A3E6-43FC-8099-3EF68C3377DB}">
      <text>
        <t>[Threaded comment]
Your version of Excel allows you to read this threaded comment; however, any edits to it will get removed if the file is opened in a newer version of Excel. Learn more: https://go.microsoft.com/fwlink/?linkid=870924
Comment:
    House Rent Allowence
Metro - HRA 50% Of Basic Salary
Non-Metro - HRA 40% Of Basic Salary</t>
      </text>
    </comment>
    <comment ref="L4" authorId="2" shapeId="0" xr:uid="{951180CD-8A79-44C1-9688-33F50925D1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TA- Traveling Allowance
</t>
      </text>
    </comment>
    <comment ref="P4" authorId="3" shapeId="0" xr:uid="{3E3A64AA-7E10-4263-80C0-92C588AA4C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 - Provident Fund
12% Of Basic Salary
</t>
      </text>
    </comment>
    <comment ref="Q4" authorId="4" shapeId="0" xr:uid="{4EBABB77-70ED-49DF-8181-2BCF284E9FA9}">
      <text>
        <t>[Threaded comment]
Your version of Excel allows you to read this threaded comment; however, any edits to it will get removed if the file is opened in a newer version of Excel. Learn more: https://go.microsoft.com/fwlink/?linkid=870924
Comment:
    ESI - Employee State Insurance
If Salary &lt;=21000 - ESI 0.75 % 
of Gross Salary</t>
      </text>
    </comment>
  </commentList>
</comments>
</file>

<file path=xl/sharedStrings.xml><?xml version="1.0" encoding="utf-8"?>
<sst xmlns="http://schemas.openxmlformats.org/spreadsheetml/2006/main" count="451" uniqueCount="81">
  <si>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</si>
  <si>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</si>
  <si>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</si>
  <si>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</si>
  <si>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</si>
  <si>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</si>
  <si>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</si>
  <si>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</si>
  <si>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</si>
  <si>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</si>
  <si>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</si>
  <si>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</si>
  <si>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emp_Id</t>
  </si>
  <si>
    <t>emp_Name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</si>
  <si>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</si>
  <si>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</si>
  <si>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</si>
  <si>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</si>
  <si>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</si>
  <si>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</si>
  <si>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</si>
  <si>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</si>
  <si>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</si>
  <si>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</si>
  <si>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</si>
  <si>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</si>
  <si>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</si>
  <si>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</si>
  <si>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</si>
  <si>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Vedika Dhulam</t>
  </si>
  <si>
    <t>Shraddha Dhulam</t>
  </si>
  <si>
    <t>Esha Waghmode</t>
  </si>
  <si>
    <t>Sandeep Wanga</t>
  </si>
  <si>
    <t>Revti Maise</t>
  </si>
  <si>
    <t>Deepika Patil</t>
  </si>
  <si>
    <t>Rani Devkar</t>
  </si>
  <si>
    <t>Somnat Rathod</t>
  </si>
  <si>
    <t>Rutuja Basargi</t>
  </si>
  <si>
    <t>Soham Dhulam</t>
  </si>
  <si>
    <t>Araya Shitole</t>
  </si>
  <si>
    <t>Shalva Patil</t>
  </si>
  <si>
    <t>Vani Kurapathi</t>
  </si>
  <si>
    <t>Rohan Mane</t>
  </si>
  <si>
    <t>Kaveri Rebba</t>
  </si>
  <si>
    <t>Total Days</t>
  </si>
  <si>
    <t xml:space="preserve">Present </t>
  </si>
  <si>
    <t>Holidays</t>
  </si>
  <si>
    <t>Week Off</t>
  </si>
  <si>
    <t>Absent</t>
  </si>
  <si>
    <t>a</t>
  </si>
  <si>
    <t>p</t>
  </si>
  <si>
    <t>DataMatix</t>
  </si>
  <si>
    <t>Year</t>
  </si>
  <si>
    <t xml:space="preserve">Month </t>
  </si>
  <si>
    <t>Emp_ID</t>
  </si>
  <si>
    <t>EMP_Name</t>
  </si>
  <si>
    <t>Designation</t>
  </si>
  <si>
    <t>Basic Salary</t>
  </si>
  <si>
    <t>Per Day Salary</t>
  </si>
  <si>
    <t>Attendance(Working Days)</t>
  </si>
  <si>
    <t>Salary (Based On Attendances)</t>
  </si>
  <si>
    <t>DA (12%)</t>
  </si>
  <si>
    <t>HRA</t>
  </si>
  <si>
    <t>TA</t>
  </si>
  <si>
    <t>Overtime Pay</t>
  </si>
  <si>
    <t>Gross Salary</t>
  </si>
  <si>
    <t>PF (12%)</t>
  </si>
  <si>
    <t>ESI 0.75%</t>
  </si>
  <si>
    <t>Net Salary</t>
  </si>
  <si>
    <t>OT In Hrs</t>
  </si>
  <si>
    <t>HR</t>
  </si>
  <si>
    <t xml:space="preserve">Manager </t>
  </si>
  <si>
    <t>Engineer</t>
  </si>
  <si>
    <t>Sales</t>
  </si>
  <si>
    <t>Helper</t>
  </si>
  <si>
    <t>Analyst</t>
  </si>
  <si>
    <t>Technical</t>
  </si>
  <si>
    <t>City (Metro or Non Metro)</t>
  </si>
  <si>
    <t>Metro</t>
  </si>
  <si>
    <t>Non Metro</t>
  </si>
  <si>
    <t>Aishwarya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</si>
</sst>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8"/>
      <color rgb="FFFFFFFF"/>
      <name val="Aptos Narrow"/>
      <family val="2"/>
      <scheme val="minor"/>
    </font>
    <font>
      <sz val="9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64" fontId="0" fillId="0" borderId="0" xfId="0" applyNumberForma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3" fontId="0" fillId="0" borderId="1" xfId="0" applyNumberFormat="1" applyBorder="1"/>
    <xf numFmtId="1" fontId="0" fillId="0" borderId="1" xfId="0" applyNumberFormat="1" applyBorder="1"/>
    <xf numFmtId="0" fontId="0" fillId="0" borderId="0" xfId="0" applyAlignment="1">
      <alignment horizontal="center" textRotation="90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 textRotation="90"/>
    </xf>
    <xf numFmtId="14" fontId="2" fillId="0" borderId="0" xfId="0" applyNumberFormat="1" applyFont="1" applyAlignment="1">
      <alignment horizontal="center" vertical="center" textRotation="90"/>
    </xf>
    <xf numFmtId="14" fontId="0" fillId="0" borderId="0" xfId="0" applyNumberFormat="1" applyAlignment="1">
      <alignment horizontal="center" vertical="center" wrapText="1"/>
    </xf>
    <xf numFmtId="0" fontId="8" fillId="4" borderId="3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3" tint="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rgb="FFFF5050"/>
        </patternFill>
      </fill>
    </dxf>
    <dxf>
      <fill>
        <patternFill>
          <bgColor theme="3" tint="0.49998474074526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ishwarya Dhulam" id="{D79F028E-D7CF-477B-A8B4-D24396DE1200}" userId="7cf35982825dfbc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6-07-12T07:22:24.04" personId="{D79F028E-D7CF-477B-A8B4-D24396DE1200}" id="{DC34B960-614C-42AE-B570-AA36FA44289B}">
    <text>DA - Dearness Allowance</text>
  </threadedComment>
  <threadedComment ref="K4" dT="2026-07-12T07:26:59.27" personId="{D79F028E-D7CF-477B-A8B4-D24396DE1200}" id="{FAAE65AF-A3E6-43FC-8099-3EF68C3377DB}">
    <text>House Rent Allowence
Metro - HRA 50% Of Basic Salary
Non-Metro - HRA 40% Of Basic Salary</text>
  </threadedComment>
  <threadedComment ref="L4" dT="2026-07-12T07:30:17.52" personId="{D79F028E-D7CF-477B-A8B4-D24396DE1200}" id="{951180CD-8A79-44C1-9688-33F50925D1AE}">
    <text xml:space="preserve">TA- Traveling Allowance
</text>
  </threadedComment>
  <threadedComment ref="P4" dT="2026-07-12T07:37:42.45" personId="{D79F028E-D7CF-477B-A8B4-D24396DE1200}" id="{3E3A64AA-7E10-4263-80C0-92C588AA4CC9}">
    <text xml:space="preserve">PA - Provident Fund
12% Of Basic Salary
</text>
  </threadedComment>
  <threadedComment ref="Q4" dT="2026-07-12T07:41:06.78" personId="{D79F028E-D7CF-477B-A8B4-D24396DE1200}" id="{4EBABB77-70ED-49DF-8181-2BCF284E9FA9}">
    <text>ESI - Employee State Insurance
If Salary &lt;=21000 - ESI 0.75 % 
of Gross Salary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2BB8-A55B-4252-BDC7-5170BBD01C81}">
  <dimension ref="A1:AL21"/>
  <sheetViews>
    <sheetView workbookViewId="0">
      <selection activeCell="AN12" sqref="AN12"/>
    </sheetView>
  </sheetViews>
  <sheetFormatPr defaultRowHeight="14.4" x14ac:dyDescent="0.3"/>
  <cols>
    <col min="1" max="1" width="10.33203125" bestFit="1" customWidth="1"/>
    <col min="2" max="2" width="17.88671875" customWidth="1"/>
    <col min="3" max="33" width="3" bestFit="1" customWidth="1"/>
    <col min="34" max="34" width="5.88671875" customWidth="1"/>
    <col min="35" max="35" width="4.21875" customWidth="1"/>
    <col min="36" max="36" width="3.33203125" customWidth="1"/>
    <col min="37" max="38" width="4" customWidth="1"/>
  </cols>
  <sheetData>
    <row r="1" spans="1:38" ht="15.6" x14ac:dyDescent="0.3">
      <c r="A1" s="5" t="s">
        <v>53</v>
      </c>
      <c r="B1" s="6" t="s">
        <v>52</v>
      </c>
      <c r="C1" s="18" t="str">
        <f>"Fully Automatic Attendance Sheet -"&amp;A2&amp;""&amp;B2&amp;""</f>
        <v>Fully Automatic Attendance Sheet -june2026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9" t="s">
        <v>51</v>
      </c>
      <c r="AI1" s="19"/>
      <c r="AJ1" s="19"/>
      <c r="AK1" s="19"/>
      <c r="AL1" s="19"/>
    </row>
    <row r="2" spans="1:38" x14ac:dyDescent="0.3">
      <c r="A2" s="2" t="s">
        <v>5</v>
      </c>
      <c r="B2" s="2">
        <v>2026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/>
      <c r="AI2" s="19"/>
      <c r="AJ2" s="19"/>
      <c r="AK2" s="19"/>
      <c r="AL2" s="19"/>
    </row>
    <row r="3" spans="1:38" x14ac:dyDescent="0.3">
      <c r="A3" s="3">
        <f>DATEVALUE("1"&amp;A2&amp;B2)</f>
        <v>46174</v>
      </c>
      <c r="B3" s="3">
        <f>EOMONTH(A3,0)</f>
        <v>46203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/>
      <c r="AI3" s="19"/>
      <c r="AJ3" s="19"/>
      <c r="AK3" s="19"/>
      <c r="AL3" s="19"/>
    </row>
    <row r="4" spans="1:38" x14ac:dyDescent="0.3">
      <c r="A4" s="12" t="s">
        <v>12</v>
      </c>
      <c r="B4" s="15" t="s">
        <v>13</v>
      </c>
      <c r="C4" s="4">
        <f>A3</f>
        <v>46174</v>
      </c>
      <c r="D4" s="4">
        <f>IF(C4&lt;$B$3,C4+1,"")</f>
        <v>46175</v>
      </c>
      <c r="E4" s="4">
        <f t="shared" ref="E4:AG4" si="0">IF(D4&lt;$B$3,D4+1,"")</f>
        <v>46176</v>
      </c>
      <c r="F4" s="4">
        <f t="shared" si="0"/>
        <v>46177</v>
      </c>
      <c r="G4" s="4">
        <f t="shared" si="0"/>
        <v>46178</v>
      </c>
      <c r="H4" s="4">
        <f t="shared" si="0"/>
        <v>46179</v>
      </c>
      <c r="I4" s="4">
        <f t="shared" si="0"/>
        <v>46180</v>
      </c>
      <c r="J4" s="4">
        <f t="shared" si="0"/>
        <v>46181</v>
      </c>
      <c r="K4" s="4">
        <f t="shared" si="0"/>
        <v>46182</v>
      </c>
      <c r="L4" s="4">
        <f t="shared" si="0"/>
        <v>46183</v>
      </c>
      <c r="M4" s="4">
        <f t="shared" si="0"/>
        <v>46184</v>
      </c>
      <c r="N4" s="4">
        <f t="shared" si="0"/>
        <v>46185</v>
      </c>
      <c r="O4" s="4">
        <f t="shared" si="0"/>
        <v>46186</v>
      </c>
      <c r="P4" s="4">
        <f t="shared" si="0"/>
        <v>46187</v>
      </c>
      <c r="Q4" s="4">
        <f t="shared" si="0"/>
        <v>46188</v>
      </c>
      <c r="R4" s="4">
        <f t="shared" si="0"/>
        <v>46189</v>
      </c>
      <c r="S4" s="4">
        <f t="shared" si="0"/>
        <v>46190</v>
      </c>
      <c r="T4" s="4">
        <f t="shared" si="0"/>
        <v>46191</v>
      </c>
      <c r="U4" s="4">
        <f t="shared" si="0"/>
        <v>46192</v>
      </c>
      <c r="V4" s="4">
        <f t="shared" si="0"/>
        <v>46193</v>
      </c>
      <c r="W4" s="4">
        <f t="shared" si="0"/>
        <v>46194</v>
      </c>
      <c r="X4" s="4">
        <f t="shared" si="0"/>
        <v>46195</v>
      </c>
      <c r="Y4" s="4">
        <f t="shared" si="0"/>
        <v>46196</v>
      </c>
      <c r="Z4" s="4">
        <f t="shared" si="0"/>
        <v>46197</v>
      </c>
      <c r="AA4" s="4">
        <f t="shared" si="0"/>
        <v>46198</v>
      </c>
      <c r="AB4" s="4">
        <f t="shared" si="0"/>
        <v>46199</v>
      </c>
      <c r="AC4" s="4">
        <f t="shared" si="0"/>
        <v>46200</v>
      </c>
      <c r="AD4" s="4">
        <f t="shared" si="0"/>
        <v>46201</v>
      </c>
      <c r="AE4" s="4">
        <f t="shared" si="0"/>
        <v>46202</v>
      </c>
      <c r="AF4" s="4">
        <f t="shared" si="0"/>
        <v>46203</v>
      </c>
      <c r="AG4" s="4" t="str">
        <f t="shared" si="0"/>
        <v/>
      </c>
      <c r="AH4" s="22" t="s">
        <v>44</v>
      </c>
      <c r="AI4" s="20" t="s">
        <v>45</v>
      </c>
      <c r="AJ4" s="20" t="s">
        <v>46</v>
      </c>
      <c r="AK4" s="21" t="s">
        <v>47</v>
      </c>
      <c r="AL4" s="20" t="s">
        <v>48</v>
      </c>
    </row>
    <row r="5" spans="1:38" x14ac:dyDescent="0.3">
      <c r="A5" s="13"/>
      <c r="B5" s="16"/>
      <c r="C5" s="11" t="str">
        <f>TEXT(C4,"ddd")</f>
        <v>Mon</v>
      </c>
      <c r="D5" s="11" t="str">
        <f t="shared" ref="D5:AG5" si="1">TEXT(D4,"ddd")</f>
        <v>Tue</v>
      </c>
      <c r="E5" s="11" t="str">
        <f t="shared" si="1"/>
        <v>Wed</v>
      </c>
      <c r="F5" s="11" t="str">
        <f t="shared" si="1"/>
        <v>Thu</v>
      </c>
      <c r="G5" s="11" t="str">
        <f t="shared" si="1"/>
        <v>Fri</v>
      </c>
      <c r="H5" s="11" t="str">
        <f t="shared" si="1"/>
        <v>Sat</v>
      </c>
      <c r="I5" s="11" t="str">
        <f t="shared" si="1"/>
        <v>Sun</v>
      </c>
      <c r="J5" s="11" t="str">
        <f t="shared" si="1"/>
        <v>Mon</v>
      </c>
      <c r="K5" s="11" t="str">
        <f t="shared" si="1"/>
        <v>Tue</v>
      </c>
      <c r="L5" s="11" t="str">
        <f t="shared" si="1"/>
        <v>Wed</v>
      </c>
      <c r="M5" s="11" t="str">
        <f>TEXT(M4,"ddd")</f>
        <v>Thu</v>
      </c>
      <c r="N5" s="11" t="str">
        <f t="shared" si="1"/>
        <v>Fri</v>
      </c>
      <c r="O5" s="11" t="str">
        <f t="shared" si="1"/>
        <v>Sat</v>
      </c>
      <c r="P5" s="11" t="str">
        <f t="shared" si="1"/>
        <v>Sun</v>
      </c>
      <c r="Q5" s="11" t="str">
        <f t="shared" si="1"/>
        <v>Mon</v>
      </c>
      <c r="R5" s="11" t="str">
        <f t="shared" si="1"/>
        <v>Tue</v>
      </c>
      <c r="S5" s="11" t="str">
        <f t="shared" si="1"/>
        <v>Wed</v>
      </c>
      <c r="T5" s="11" t="str">
        <f t="shared" si="1"/>
        <v>Thu</v>
      </c>
      <c r="U5" s="11" t="str">
        <f t="shared" si="1"/>
        <v>Fri</v>
      </c>
      <c r="V5" s="11" t="str">
        <f t="shared" si="1"/>
        <v>Sat</v>
      </c>
      <c r="W5" s="11" t="str">
        <f t="shared" si="1"/>
        <v>Sun</v>
      </c>
      <c r="X5" s="11" t="str">
        <f t="shared" si="1"/>
        <v>Mon</v>
      </c>
      <c r="Y5" s="11" t="str">
        <f t="shared" si="1"/>
        <v>Tue</v>
      </c>
      <c r="Z5" s="11" t="str">
        <f t="shared" si="1"/>
        <v>Wed</v>
      </c>
      <c r="AA5" s="11" t="str">
        <f t="shared" si="1"/>
        <v>Thu</v>
      </c>
      <c r="AB5" s="11" t="str">
        <f t="shared" si="1"/>
        <v>Fri</v>
      </c>
      <c r="AC5" s="11" t="str">
        <f t="shared" si="1"/>
        <v>Sat</v>
      </c>
      <c r="AD5" s="11" t="str">
        <f t="shared" si="1"/>
        <v>Sun</v>
      </c>
      <c r="AE5" s="11" t="str">
        <f t="shared" si="1"/>
        <v>Mon</v>
      </c>
      <c r="AF5" s="11" t="str">
        <f t="shared" si="1"/>
        <v>Tue</v>
      </c>
      <c r="AG5" s="11" t="str">
        <f t="shared" si="1"/>
        <v/>
      </c>
      <c r="AH5" s="22"/>
      <c r="AI5" s="20"/>
      <c r="AJ5" s="20"/>
      <c r="AK5" s="20"/>
      <c r="AL5" s="20"/>
    </row>
    <row r="6" spans="1:38" x14ac:dyDescent="0.3">
      <c r="A6" s="14"/>
      <c r="B6" s="1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22"/>
      <c r="AI6" s="20"/>
      <c r="AJ6" s="20"/>
      <c r="AK6" s="20"/>
      <c r="AL6" s="20"/>
    </row>
    <row r="7" spans="1:38" ht="14.4" customHeight="1" x14ac:dyDescent="0.3">
      <c r="A7" s="1" t="s">
        <v>14</v>
      </c>
      <c r="B7" s="1" t="s">
        <v>29</v>
      </c>
      <c r="C7" t="s">
        <v>50</v>
      </c>
      <c r="D7" t="s">
        <v>50</v>
      </c>
      <c r="E7" t="s">
        <v>50</v>
      </c>
      <c r="G7" t="s">
        <v>50</v>
      </c>
      <c r="H7" t="s">
        <v>50</v>
      </c>
      <c r="J7" t="s">
        <v>50</v>
      </c>
      <c r="K7" t="s">
        <v>50</v>
      </c>
      <c r="L7" t="s">
        <v>50</v>
      </c>
      <c r="N7" t="s">
        <v>49</v>
      </c>
      <c r="O7" t="s">
        <v>50</v>
      </c>
      <c r="Q7" t="s">
        <v>50</v>
      </c>
      <c r="R7" t="s">
        <v>50</v>
      </c>
      <c r="S7" t="s">
        <v>50</v>
      </c>
      <c r="U7" t="s">
        <v>50</v>
      </c>
      <c r="V7" t="s">
        <v>50</v>
      </c>
      <c r="X7" t="s">
        <v>50</v>
      </c>
      <c r="Y7" t="s">
        <v>50</v>
      </c>
      <c r="Z7" t="s">
        <v>49</v>
      </c>
      <c r="AB7" t="s">
        <v>50</v>
      </c>
      <c r="AC7" t="s">
        <v>50</v>
      </c>
      <c r="AE7" t="s">
        <v>50</v>
      </c>
      <c r="AF7" t="s">
        <v>50</v>
      </c>
      <c r="AH7">
        <f>COUNT(C$4:AG$4)</f>
        <v>30</v>
      </c>
      <c r="AI7">
        <f>COUNTIF($C7:$AG7,"P")</f>
        <v>20</v>
      </c>
      <c r="AJ7">
        <f>COUNTIF($C7:$AG7,"H")</f>
        <v>0</v>
      </c>
      <c r="AK7">
        <f>COUNTIF(C$5:AG$6,"Sun")</f>
        <v>4</v>
      </c>
      <c r="AL7">
        <f>COUNTIF($C7:$AG7,"A")</f>
        <v>2</v>
      </c>
    </row>
    <row r="8" spans="1:38" x14ac:dyDescent="0.3">
      <c r="A8" s="1" t="s">
        <v>15</v>
      </c>
      <c r="B8" s="1" t="s">
        <v>30</v>
      </c>
      <c r="C8" t="s">
        <v>49</v>
      </c>
      <c r="D8" t="s">
        <v>50</v>
      </c>
      <c r="E8" t="s">
        <v>50</v>
      </c>
      <c r="G8" t="s">
        <v>50</v>
      </c>
      <c r="H8" t="s">
        <v>50</v>
      </c>
      <c r="J8" t="s">
        <v>50</v>
      </c>
      <c r="K8" t="s">
        <v>50</v>
      </c>
      <c r="L8" t="s">
        <v>50</v>
      </c>
      <c r="N8" t="s">
        <v>50</v>
      </c>
      <c r="O8" t="s">
        <v>50</v>
      </c>
      <c r="Q8" t="s">
        <v>50</v>
      </c>
      <c r="R8" t="s">
        <v>50</v>
      </c>
      <c r="S8" t="s">
        <v>50</v>
      </c>
      <c r="U8" t="s">
        <v>50</v>
      </c>
      <c r="V8" t="s">
        <v>50</v>
      </c>
      <c r="X8" t="s">
        <v>49</v>
      </c>
      <c r="Y8" t="s">
        <v>50</v>
      </c>
      <c r="Z8" t="s">
        <v>49</v>
      </c>
      <c r="AB8" t="s">
        <v>50</v>
      </c>
      <c r="AC8" t="s">
        <v>50</v>
      </c>
      <c r="AE8" t="s">
        <v>50</v>
      </c>
      <c r="AF8" t="s">
        <v>50</v>
      </c>
      <c r="AH8">
        <f t="shared" ref="AH8:AH21" si="2">COUNT(C$4:AG$4)</f>
        <v>30</v>
      </c>
      <c r="AI8">
        <f t="shared" ref="AI8:AI21" si="3">COUNTIF($C8:$AG8,"P")</f>
        <v>19</v>
      </c>
      <c r="AJ8">
        <f t="shared" ref="AJ8:AJ21" si="4">COUNTIF($C8:$AG8,"H")</f>
        <v>0</v>
      </c>
      <c r="AK8">
        <f t="shared" ref="AK8:AK21" si="5">COUNTIF(C$5:AG$6,"Sun")</f>
        <v>4</v>
      </c>
      <c r="AL8">
        <f t="shared" ref="AL8:AL21" si="6">COUNTIF($C8:$AG8,"A")</f>
        <v>3</v>
      </c>
    </row>
    <row r="9" spans="1:38" ht="14.4" customHeight="1" x14ac:dyDescent="0.3">
      <c r="A9" s="1" t="s">
        <v>16</v>
      </c>
      <c r="B9" s="1" t="s">
        <v>31</v>
      </c>
      <c r="C9" t="s">
        <v>50</v>
      </c>
      <c r="D9" t="s">
        <v>50</v>
      </c>
      <c r="E9" t="s">
        <v>50</v>
      </c>
      <c r="G9" t="s">
        <v>49</v>
      </c>
      <c r="H9" t="s">
        <v>50</v>
      </c>
      <c r="J9" t="s">
        <v>50</v>
      </c>
      <c r="K9" t="s">
        <v>50</v>
      </c>
      <c r="L9" t="s">
        <v>50</v>
      </c>
      <c r="N9" t="s">
        <v>50</v>
      </c>
      <c r="O9" t="s">
        <v>50</v>
      </c>
      <c r="Q9" t="s">
        <v>50</v>
      </c>
      <c r="R9" t="s">
        <v>50</v>
      </c>
      <c r="S9" t="s">
        <v>50</v>
      </c>
      <c r="U9" t="s">
        <v>50</v>
      </c>
      <c r="V9" t="s">
        <v>50</v>
      </c>
      <c r="X9" t="s">
        <v>50</v>
      </c>
      <c r="Y9" t="s">
        <v>50</v>
      </c>
      <c r="Z9" t="s">
        <v>50</v>
      </c>
      <c r="AB9" t="s">
        <v>50</v>
      </c>
      <c r="AC9" t="s">
        <v>50</v>
      </c>
      <c r="AE9" t="s">
        <v>50</v>
      </c>
      <c r="AF9" t="s">
        <v>50</v>
      </c>
      <c r="AH9">
        <f t="shared" si="2"/>
        <v>30</v>
      </c>
      <c r="AI9">
        <f t="shared" si="3"/>
        <v>21</v>
      </c>
      <c r="AJ9">
        <f t="shared" si="4"/>
        <v>0</v>
      </c>
      <c r="AK9">
        <f t="shared" si="5"/>
        <v>4</v>
      </c>
      <c r="AL9">
        <f t="shared" si="6"/>
        <v>1</v>
      </c>
    </row>
    <row r="10" spans="1:38" x14ac:dyDescent="0.3">
      <c r="A10" s="1" t="s">
        <v>17</v>
      </c>
      <c r="B10" s="1" t="s">
        <v>32</v>
      </c>
      <c r="C10" t="s">
        <v>49</v>
      </c>
      <c r="D10" t="s">
        <v>50</v>
      </c>
      <c r="E10" t="s">
        <v>50</v>
      </c>
      <c r="G10" t="s">
        <v>50</v>
      </c>
      <c r="H10" t="s">
        <v>50</v>
      </c>
      <c r="J10" t="s">
        <v>50</v>
      </c>
      <c r="K10" t="s">
        <v>50</v>
      </c>
      <c r="L10" t="s">
        <v>50</v>
      </c>
      <c r="N10" t="s">
        <v>50</v>
      </c>
      <c r="O10" t="s">
        <v>50</v>
      </c>
      <c r="Q10" t="s">
        <v>50</v>
      </c>
      <c r="R10" t="s">
        <v>50</v>
      </c>
      <c r="S10" t="s">
        <v>50</v>
      </c>
      <c r="U10" t="s">
        <v>49</v>
      </c>
      <c r="V10" t="s">
        <v>50</v>
      </c>
      <c r="X10" t="s">
        <v>50</v>
      </c>
      <c r="Y10" t="s">
        <v>49</v>
      </c>
      <c r="Z10" t="s">
        <v>50</v>
      </c>
      <c r="AB10" t="s">
        <v>50</v>
      </c>
      <c r="AC10" t="s">
        <v>50</v>
      </c>
      <c r="AE10" t="s">
        <v>50</v>
      </c>
      <c r="AF10" t="s">
        <v>50</v>
      </c>
      <c r="AH10">
        <f t="shared" si="2"/>
        <v>30</v>
      </c>
      <c r="AI10">
        <f t="shared" si="3"/>
        <v>19</v>
      </c>
      <c r="AJ10">
        <f t="shared" si="4"/>
        <v>0</v>
      </c>
      <c r="AK10">
        <f t="shared" si="5"/>
        <v>4</v>
      </c>
      <c r="AL10">
        <f t="shared" si="6"/>
        <v>3</v>
      </c>
    </row>
    <row r="11" spans="1:38" ht="14.4" customHeight="1" x14ac:dyDescent="0.3">
      <c r="A11" s="1" t="s">
        <v>18</v>
      </c>
      <c r="B11" s="1" t="s">
        <v>33</v>
      </c>
      <c r="C11" t="s">
        <v>50</v>
      </c>
      <c r="D11" t="s">
        <v>50</v>
      </c>
      <c r="E11" t="s">
        <v>50</v>
      </c>
      <c r="G11" t="s">
        <v>50</v>
      </c>
      <c r="H11" t="s">
        <v>50</v>
      </c>
      <c r="J11" t="s">
        <v>50</v>
      </c>
      <c r="K11" t="s">
        <v>50</v>
      </c>
      <c r="L11" t="s">
        <v>50</v>
      </c>
      <c r="N11" t="s">
        <v>50</v>
      </c>
      <c r="O11" t="s">
        <v>50</v>
      </c>
      <c r="Q11" t="s">
        <v>50</v>
      </c>
      <c r="R11" t="s">
        <v>50</v>
      </c>
      <c r="S11" t="s">
        <v>50</v>
      </c>
      <c r="U11" t="s">
        <v>50</v>
      </c>
      <c r="V11" t="s">
        <v>49</v>
      </c>
      <c r="X11" t="s">
        <v>50</v>
      </c>
      <c r="Y11" t="s">
        <v>50</v>
      </c>
      <c r="Z11" t="s">
        <v>50</v>
      </c>
      <c r="AB11" t="s">
        <v>49</v>
      </c>
      <c r="AC11" t="s">
        <v>50</v>
      </c>
      <c r="AE11" t="s">
        <v>50</v>
      </c>
      <c r="AF11" t="s">
        <v>50</v>
      </c>
      <c r="AH11">
        <f t="shared" si="2"/>
        <v>30</v>
      </c>
      <c r="AI11">
        <f t="shared" si="3"/>
        <v>20</v>
      </c>
      <c r="AJ11">
        <f t="shared" si="4"/>
        <v>0</v>
      </c>
      <c r="AK11">
        <f t="shared" si="5"/>
        <v>4</v>
      </c>
      <c r="AL11">
        <f t="shared" si="6"/>
        <v>2</v>
      </c>
    </row>
    <row r="12" spans="1:38" x14ac:dyDescent="0.3">
      <c r="A12" s="1" t="s">
        <v>19</v>
      </c>
      <c r="B12" s="1" t="s">
        <v>34</v>
      </c>
      <c r="C12" t="s">
        <v>50</v>
      </c>
      <c r="D12" t="s">
        <v>50</v>
      </c>
      <c r="E12" t="s">
        <v>50</v>
      </c>
      <c r="G12" t="s">
        <v>50</v>
      </c>
      <c r="H12" t="s">
        <v>50</v>
      </c>
      <c r="J12" t="s">
        <v>50</v>
      </c>
      <c r="K12" t="s">
        <v>50</v>
      </c>
      <c r="L12" t="s">
        <v>49</v>
      </c>
      <c r="N12" t="s">
        <v>50</v>
      </c>
      <c r="O12" t="s">
        <v>50</v>
      </c>
      <c r="Q12" t="s">
        <v>50</v>
      </c>
      <c r="R12" t="s">
        <v>50</v>
      </c>
      <c r="S12" t="s">
        <v>49</v>
      </c>
      <c r="U12" t="s">
        <v>49</v>
      </c>
      <c r="V12" t="s">
        <v>50</v>
      </c>
      <c r="X12" t="s">
        <v>50</v>
      </c>
      <c r="Y12" t="s">
        <v>50</v>
      </c>
      <c r="Z12" t="s">
        <v>50</v>
      </c>
      <c r="AB12" t="s">
        <v>50</v>
      </c>
      <c r="AC12" t="s">
        <v>50</v>
      </c>
      <c r="AE12" t="s">
        <v>50</v>
      </c>
      <c r="AF12" t="s">
        <v>49</v>
      </c>
      <c r="AH12">
        <f t="shared" si="2"/>
        <v>30</v>
      </c>
      <c r="AI12">
        <f t="shared" si="3"/>
        <v>18</v>
      </c>
      <c r="AJ12">
        <f t="shared" si="4"/>
        <v>0</v>
      </c>
      <c r="AK12">
        <f t="shared" si="5"/>
        <v>4</v>
      </c>
      <c r="AL12">
        <f t="shared" si="6"/>
        <v>4</v>
      </c>
    </row>
    <row r="13" spans="1:38" ht="14.4" customHeight="1" x14ac:dyDescent="0.3">
      <c r="A13" s="1" t="s">
        <v>20</v>
      </c>
      <c r="B13" s="1" t="s">
        <v>35</v>
      </c>
      <c r="C13" t="s">
        <v>49</v>
      </c>
      <c r="D13" t="s">
        <v>49</v>
      </c>
      <c r="E13" t="s">
        <v>50</v>
      </c>
      <c r="G13" t="s">
        <v>50</v>
      </c>
      <c r="H13" t="s">
        <v>50</v>
      </c>
      <c r="J13" t="s">
        <v>50</v>
      </c>
      <c r="K13" t="s">
        <v>50</v>
      </c>
      <c r="L13" t="s">
        <v>50</v>
      </c>
      <c r="N13" t="s">
        <v>50</v>
      </c>
      <c r="O13" t="s">
        <v>50</v>
      </c>
      <c r="Q13" t="s">
        <v>50</v>
      </c>
      <c r="R13" t="s">
        <v>50</v>
      </c>
      <c r="S13" t="s">
        <v>50</v>
      </c>
      <c r="U13" t="s">
        <v>50</v>
      </c>
      <c r="V13" t="s">
        <v>50</v>
      </c>
      <c r="X13" t="s">
        <v>50</v>
      </c>
      <c r="Y13" t="s">
        <v>50</v>
      </c>
      <c r="Z13" t="s">
        <v>50</v>
      </c>
      <c r="AB13" t="s">
        <v>50</v>
      </c>
      <c r="AC13" t="s">
        <v>50</v>
      </c>
      <c r="AE13" t="s">
        <v>50</v>
      </c>
      <c r="AF13" t="s">
        <v>50</v>
      </c>
      <c r="AH13">
        <f t="shared" si="2"/>
        <v>30</v>
      </c>
      <c r="AI13">
        <f t="shared" si="3"/>
        <v>20</v>
      </c>
      <c r="AJ13">
        <f t="shared" si="4"/>
        <v>0</v>
      </c>
      <c r="AK13">
        <f t="shared" si="5"/>
        <v>4</v>
      </c>
      <c r="AL13">
        <f t="shared" si="6"/>
        <v>2</v>
      </c>
    </row>
    <row r="14" spans="1:38" x14ac:dyDescent="0.3">
      <c r="A14" s="1" t="s">
        <v>21</v>
      </c>
      <c r="B14" s="1" t="s">
        <v>36</v>
      </c>
      <c r="C14" t="s">
        <v>50</v>
      </c>
      <c r="D14" t="s">
        <v>50</v>
      </c>
      <c r="E14" t="s">
        <v>50</v>
      </c>
      <c r="G14" t="s">
        <v>50</v>
      </c>
      <c r="H14" t="s">
        <v>50</v>
      </c>
      <c r="J14" t="s">
        <v>50</v>
      </c>
      <c r="K14" t="s">
        <v>50</v>
      </c>
      <c r="L14" t="s">
        <v>49</v>
      </c>
      <c r="N14" t="s">
        <v>49</v>
      </c>
      <c r="O14" t="s">
        <v>50</v>
      </c>
      <c r="Q14" t="s">
        <v>50</v>
      </c>
      <c r="R14" t="s">
        <v>50</v>
      </c>
      <c r="S14" t="s">
        <v>49</v>
      </c>
      <c r="U14" t="s">
        <v>50</v>
      </c>
      <c r="V14" t="s">
        <v>50</v>
      </c>
      <c r="X14" t="s">
        <v>50</v>
      </c>
      <c r="Y14" t="s">
        <v>50</v>
      </c>
      <c r="Z14" t="s">
        <v>50</v>
      </c>
      <c r="AB14" t="s">
        <v>50</v>
      </c>
      <c r="AC14" t="s">
        <v>50</v>
      </c>
      <c r="AE14" t="s">
        <v>50</v>
      </c>
      <c r="AF14" t="s">
        <v>50</v>
      </c>
      <c r="AH14">
        <f t="shared" si="2"/>
        <v>30</v>
      </c>
      <c r="AI14">
        <f t="shared" si="3"/>
        <v>19</v>
      </c>
      <c r="AJ14">
        <f t="shared" si="4"/>
        <v>0</v>
      </c>
      <c r="AK14">
        <f t="shared" si="5"/>
        <v>4</v>
      </c>
      <c r="AL14">
        <f t="shared" si="6"/>
        <v>3</v>
      </c>
    </row>
    <row r="15" spans="1:38" ht="14.4" customHeight="1" x14ac:dyDescent="0.3">
      <c r="A15" s="1" t="s">
        <v>22</v>
      </c>
      <c r="B15" s="1" t="s">
        <v>37</v>
      </c>
      <c r="C15" t="s">
        <v>49</v>
      </c>
      <c r="D15" t="s">
        <v>50</v>
      </c>
      <c r="E15" t="s">
        <v>50</v>
      </c>
      <c r="G15" t="s">
        <v>50</v>
      </c>
      <c r="H15" t="s">
        <v>50</v>
      </c>
      <c r="J15" t="s">
        <v>50</v>
      </c>
      <c r="K15" t="s">
        <v>50</v>
      </c>
      <c r="L15" t="s">
        <v>50</v>
      </c>
      <c r="N15" t="s">
        <v>49</v>
      </c>
      <c r="O15" t="s">
        <v>49</v>
      </c>
      <c r="Q15" t="s">
        <v>50</v>
      </c>
      <c r="R15" t="s">
        <v>50</v>
      </c>
      <c r="S15" t="s">
        <v>50</v>
      </c>
      <c r="U15" t="s">
        <v>50</v>
      </c>
      <c r="V15" t="s">
        <v>50</v>
      </c>
      <c r="X15" t="s">
        <v>50</v>
      </c>
      <c r="Y15" t="s">
        <v>49</v>
      </c>
      <c r="Z15" t="s">
        <v>50</v>
      </c>
      <c r="AB15" t="s">
        <v>49</v>
      </c>
      <c r="AC15" t="s">
        <v>50</v>
      </c>
      <c r="AE15" t="s">
        <v>50</v>
      </c>
      <c r="AF15" t="s">
        <v>50</v>
      </c>
      <c r="AH15">
        <f t="shared" si="2"/>
        <v>30</v>
      </c>
      <c r="AI15">
        <f t="shared" si="3"/>
        <v>17</v>
      </c>
      <c r="AJ15">
        <f t="shared" si="4"/>
        <v>0</v>
      </c>
      <c r="AK15">
        <f t="shared" si="5"/>
        <v>4</v>
      </c>
      <c r="AL15">
        <f t="shared" si="6"/>
        <v>5</v>
      </c>
    </row>
    <row r="16" spans="1:38" x14ac:dyDescent="0.3">
      <c r="A16" s="1" t="s">
        <v>23</v>
      </c>
      <c r="B16" s="1" t="s">
        <v>38</v>
      </c>
      <c r="C16" t="s">
        <v>49</v>
      </c>
      <c r="D16" t="s">
        <v>49</v>
      </c>
      <c r="E16" t="s">
        <v>49</v>
      </c>
      <c r="F16" s="34" t="s">
        <v>49</v>
      </c>
      <c r="G16" t="s">
        <v>49</v>
      </c>
      <c r="H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E16" t="s">
        <v>49</v>
      </c>
      <c r="AF16" t="s">
        <v>49</v>
      </c>
      <c r="AH16">
        <f t="shared" si="2"/>
        <v>30</v>
      </c>
      <c r="AI16">
        <f t="shared" si="3"/>
        <v>0</v>
      </c>
      <c r="AJ16">
        <f t="shared" si="4"/>
        <v>0</v>
      </c>
      <c r="AK16">
        <f t="shared" si="5"/>
        <v>4</v>
      </c>
      <c r="AL16">
        <f t="shared" si="6"/>
        <v>26</v>
      </c>
    </row>
    <row r="17" spans="1:38" ht="14.4" customHeight="1" x14ac:dyDescent="0.3">
      <c r="A17" s="1" t="s">
        <v>24</v>
      </c>
      <c r="B17" s="1" t="s">
        <v>39</v>
      </c>
      <c r="C17" t="s">
        <v>50</v>
      </c>
      <c r="D17" t="s">
        <v>50</v>
      </c>
      <c r="E17" t="s">
        <v>50</v>
      </c>
      <c r="G17" t="s">
        <v>50</v>
      </c>
      <c r="H17" t="s">
        <v>50</v>
      </c>
      <c r="J17" t="s">
        <v>50</v>
      </c>
      <c r="K17" t="s">
        <v>50</v>
      </c>
      <c r="L17" t="s">
        <v>50</v>
      </c>
      <c r="N17" t="s">
        <v>50</v>
      </c>
      <c r="O17" t="s">
        <v>50</v>
      </c>
      <c r="Q17" t="s">
        <v>50</v>
      </c>
      <c r="R17" t="s">
        <v>50</v>
      </c>
      <c r="S17" t="s">
        <v>50</v>
      </c>
      <c r="U17" t="s">
        <v>50</v>
      </c>
      <c r="V17" t="s">
        <v>50</v>
      </c>
      <c r="X17" t="s">
        <v>50</v>
      </c>
      <c r="Y17" t="s">
        <v>50</v>
      </c>
      <c r="Z17" t="s">
        <v>50</v>
      </c>
      <c r="AB17" t="s">
        <v>50</v>
      </c>
      <c r="AC17" t="s">
        <v>50</v>
      </c>
      <c r="AE17" t="s">
        <v>49</v>
      </c>
      <c r="AF17" t="s">
        <v>50</v>
      </c>
      <c r="AH17">
        <f t="shared" si="2"/>
        <v>30</v>
      </c>
      <c r="AI17">
        <f t="shared" si="3"/>
        <v>21</v>
      </c>
      <c r="AJ17">
        <f t="shared" si="4"/>
        <v>0</v>
      </c>
      <c r="AK17">
        <f t="shared" si="5"/>
        <v>4</v>
      </c>
      <c r="AL17">
        <f t="shared" si="6"/>
        <v>1</v>
      </c>
    </row>
    <row r="18" spans="1:38" x14ac:dyDescent="0.3">
      <c r="A18" s="1" t="s">
        <v>25</v>
      </c>
      <c r="B18" s="1" t="s">
        <v>40</v>
      </c>
      <c r="C18" t="s">
        <v>50</v>
      </c>
      <c r="D18" t="s">
        <v>50</v>
      </c>
      <c r="E18" t="s">
        <v>50</v>
      </c>
      <c r="G18" t="s">
        <v>50</v>
      </c>
      <c r="H18" t="s">
        <v>50</v>
      </c>
      <c r="J18" t="s">
        <v>50</v>
      </c>
      <c r="K18" t="s">
        <v>50</v>
      </c>
      <c r="L18" t="s">
        <v>49</v>
      </c>
      <c r="N18" t="s">
        <v>50</v>
      </c>
      <c r="O18" t="s">
        <v>50</v>
      </c>
      <c r="Q18" t="s">
        <v>50</v>
      </c>
      <c r="R18" t="s">
        <v>50</v>
      </c>
      <c r="S18" t="s">
        <v>50</v>
      </c>
      <c r="U18" t="s">
        <v>50</v>
      </c>
      <c r="V18" t="s">
        <v>50</v>
      </c>
      <c r="X18" t="s">
        <v>50</v>
      </c>
      <c r="Y18" t="s">
        <v>50</v>
      </c>
      <c r="Z18" t="s">
        <v>50</v>
      </c>
      <c r="AB18" t="s">
        <v>50</v>
      </c>
      <c r="AC18" t="s">
        <v>49</v>
      </c>
      <c r="AE18" t="s">
        <v>50</v>
      </c>
      <c r="AF18" t="s">
        <v>50</v>
      </c>
      <c r="AH18">
        <f t="shared" si="2"/>
        <v>30</v>
      </c>
      <c r="AI18">
        <f t="shared" si="3"/>
        <v>20</v>
      </c>
      <c r="AJ18">
        <f t="shared" si="4"/>
        <v>0</v>
      </c>
      <c r="AK18">
        <f t="shared" si="5"/>
        <v>4</v>
      </c>
      <c r="AL18">
        <f t="shared" si="6"/>
        <v>2</v>
      </c>
    </row>
    <row r="19" spans="1:38" ht="14.4" customHeight="1" x14ac:dyDescent="0.3">
      <c r="A19" s="1" t="s">
        <v>26</v>
      </c>
      <c r="B19" s="1" t="s">
        <v>41</v>
      </c>
      <c r="C19" t="s">
        <v>50</v>
      </c>
      <c r="D19" t="s">
        <v>50</v>
      </c>
      <c r="E19" t="s">
        <v>50</v>
      </c>
      <c r="G19" t="s">
        <v>50</v>
      </c>
      <c r="H19" t="s">
        <v>50</v>
      </c>
      <c r="J19" t="s">
        <v>50</v>
      </c>
      <c r="K19" t="s">
        <v>50</v>
      </c>
      <c r="L19" t="s">
        <v>50</v>
      </c>
      <c r="N19" t="s">
        <v>50</v>
      </c>
      <c r="O19" t="s">
        <v>50</v>
      </c>
      <c r="Q19" t="s">
        <v>50</v>
      </c>
      <c r="R19" t="s">
        <v>50</v>
      </c>
      <c r="S19" t="s">
        <v>50</v>
      </c>
      <c r="U19" t="s">
        <v>50</v>
      </c>
      <c r="V19" t="s">
        <v>50</v>
      </c>
      <c r="X19" t="s">
        <v>50</v>
      </c>
      <c r="Y19" t="s">
        <v>50</v>
      </c>
      <c r="Z19" t="s">
        <v>50</v>
      </c>
      <c r="AB19" t="s">
        <v>50</v>
      </c>
      <c r="AC19" t="s">
        <v>50</v>
      </c>
      <c r="AE19" t="s">
        <v>50</v>
      </c>
      <c r="AF19" t="s">
        <v>49</v>
      </c>
      <c r="AH19">
        <f t="shared" si="2"/>
        <v>30</v>
      </c>
      <c r="AI19">
        <f t="shared" si="3"/>
        <v>21</v>
      </c>
      <c r="AJ19">
        <f t="shared" si="4"/>
        <v>0</v>
      </c>
      <c r="AK19">
        <f t="shared" si="5"/>
        <v>4</v>
      </c>
      <c r="AL19">
        <f t="shared" si="6"/>
        <v>1</v>
      </c>
    </row>
    <row r="20" spans="1:38" x14ac:dyDescent="0.3">
      <c r="A20" s="1" t="s">
        <v>27</v>
      </c>
      <c r="B20" s="1" t="s">
        <v>42</v>
      </c>
      <c r="C20" t="s">
        <v>50</v>
      </c>
      <c r="D20" t="s">
        <v>50</v>
      </c>
      <c r="E20" t="s">
        <v>50</v>
      </c>
      <c r="G20" t="s">
        <v>50</v>
      </c>
      <c r="H20" t="s">
        <v>50</v>
      </c>
      <c r="J20" t="s">
        <v>50</v>
      </c>
      <c r="K20" t="s">
        <v>50</v>
      </c>
      <c r="L20" t="s">
        <v>50</v>
      </c>
      <c r="N20" t="s">
        <v>50</v>
      </c>
      <c r="O20" t="s">
        <v>49</v>
      </c>
      <c r="Q20" t="s">
        <v>49</v>
      </c>
      <c r="R20" t="s">
        <v>50</v>
      </c>
      <c r="S20" t="s">
        <v>50</v>
      </c>
      <c r="U20" t="s">
        <v>50</v>
      </c>
      <c r="V20" t="s">
        <v>50</v>
      </c>
      <c r="X20" t="s">
        <v>50</v>
      </c>
      <c r="Y20" t="s">
        <v>50</v>
      </c>
      <c r="Z20" t="s">
        <v>50</v>
      </c>
      <c r="AB20" t="s">
        <v>50</v>
      </c>
      <c r="AC20" t="s">
        <v>50</v>
      </c>
      <c r="AE20" t="s">
        <v>49</v>
      </c>
      <c r="AF20" t="s">
        <v>50</v>
      </c>
      <c r="AH20">
        <f t="shared" si="2"/>
        <v>30</v>
      </c>
      <c r="AI20">
        <f t="shared" si="3"/>
        <v>19</v>
      </c>
      <c r="AJ20">
        <f t="shared" si="4"/>
        <v>0</v>
      </c>
      <c r="AK20">
        <f t="shared" si="5"/>
        <v>4</v>
      </c>
      <c r="AL20">
        <f t="shared" si="6"/>
        <v>3</v>
      </c>
    </row>
    <row r="21" spans="1:38" x14ac:dyDescent="0.3">
      <c r="A21" s="1" t="s">
        <v>28</v>
      </c>
      <c r="B21" s="1" t="s">
        <v>43</v>
      </c>
      <c r="C21" t="s">
        <v>50</v>
      </c>
      <c r="D21" t="s">
        <v>49</v>
      </c>
      <c r="E21" t="s">
        <v>50</v>
      </c>
      <c r="G21" t="s">
        <v>50</v>
      </c>
      <c r="H21" t="s">
        <v>50</v>
      </c>
      <c r="J21" t="s">
        <v>50</v>
      </c>
      <c r="K21" t="s">
        <v>50</v>
      </c>
      <c r="L21" t="s">
        <v>50</v>
      </c>
      <c r="N21" t="s">
        <v>50</v>
      </c>
      <c r="O21" t="s">
        <v>50</v>
      </c>
      <c r="Q21" t="s">
        <v>49</v>
      </c>
      <c r="R21" t="s">
        <v>50</v>
      </c>
      <c r="S21" t="s">
        <v>50</v>
      </c>
      <c r="U21" t="s">
        <v>50</v>
      </c>
      <c r="V21" t="s">
        <v>50</v>
      </c>
      <c r="X21" t="s">
        <v>50</v>
      </c>
      <c r="Y21" t="s">
        <v>49</v>
      </c>
      <c r="Z21" t="s">
        <v>50</v>
      </c>
      <c r="AB21" t="s">
        <v>50</v>
      </c>
      <c r="AC21" t="s">
        <v>50</v>
      </c>
      <c r="AE21" t="s">
        <v>50</v>
      </c>
      <c r="AF21" t="s">
        <v>50</v>
      </c>
      <c r="AH21">
        <f t="shared" si="2"/>
        <v>30</v>
      </c>
      <c r="AI21">
        <f t="shared" si="3"/>
        <v>19</v>
      </c>
      <c r="AJ21">
        <f t="shared" si="4"/>
        <v>0</v>
      </c>
      <c r="AK21">
        <f t="shared" si="5"/>
        <v>4</v>
      </c>
      <c r="AL21">
        <f t="shared" si="6"/>
        <v>3</v>
      </c>
    </row>
  </sheetData>
  <mergeCells count="40">
    <mergeCell ref="C1:AG3"/>
    <mergeCell ref="AH1:AL3"/>
    <mergeCell ref="AJ4:AJ6"/>
    <mergeCell ref="AK4:AK6"/>
    <mergeCell ref="AL4:AL6"/>
    <mergeCell ref="AG5:AG6"/>
    <mergeCell ref="AH4:AH6"/>
    <mergeCell ref="AI4:AI6"/>
    <mergeCell ref="W5:W6"/>
    <mergeCell ref="L5:L6"/>
    <mergeCell ref="M5:M6"/>
    <mergeCell ref="N5:N6"/>
    <mergeCell ref="O5:O6"/>
    <mergeCell ref="P5:P6"/>
    <mergeCell ref="Q5:Q6"/>
    <mergeCell ref="F5:F6"/>
    <mergeCell ref="R5:R6"/>
    <mergeCell ref="S5:S6"/>
    <mergeCell ref="T5:T6"/>
    <mergeCell ref="U5:U6"/>
    <mergeCell ref="V5:V6"/>
    <mergeCell ref="AD5:AD6"/>
    <mergeCell ref="AE5:AE6"/>
    <mergeCell ref="AF5:AF6"/>
    <mergeCell ref="X5:X6"/>
    <mergeCell ref="Y5:Y6"/>
    <mergeCell ref="Z5:Z6"/>
    <mergeCell ref="AA5:AA6"/>
    <mergeCell ref="AB5:AB6"/>
    <mergeCell ref="AC5:AC6"/>
    <mergeCell ref="I5:I6"/>
    <mergeCell ref="J5:J6"/>
    <mergeCell ref="K5:K6"/>
    <mergeCell ref="A4:A6"/>
    <mergeCell ref="B4:B6"/>
    <mergeCell ref="D5:D6"/>
    <mergeCell ref="E5:E6"/>
    <mergeCell ref="C5:C6"/>
    <mergeCell ref="G5:G6"/>
    <mergeCell ref="H5:H6"/>
  </mergeCells>
  <phoneticPr fontId="1" type="noConversion"/>
  <conditionalFormatting sqref="C4:AG4">
    <cfRule type="timePeriod" dxfId="5" priority="3" timePeriod="today">
      <formula>FLOOR(C4,1)=TODAY()</formula>
    </cfRule>
  </conditionalFormatting>
  <conditionalFormatting sqref="C4:AG21">
    <cfRule type="expression" dxfId="4" priority="4">
      <formula>C$5="Sun"</formula>
    </cfRule>
  </conditionalFormatting>
  <conditionalFormatting sqref="C7:AG21">
    <cfRule type="containsText" dxfId="3" priority="1" operator="containsText" text="A">
      <formula>NOT(ISERROR(SEARCH("A",C7)))</formula>
    </cfRule>
    <cfRule type="containsText" dxfId="2" priority="2" operator="containsText" text="H">
      <formula>NOT(ISERROR(SEARCH("H",C7)))</formula>
    </cfRule>
  </conditionalFormatting>
  <conditionalFormatting sqref="C4:AL6">
    <cfRule type="notContainsBlanks" dxfId="1" priority="6">
      <formula>LEN(TRIM(C4))&gt;0</formula>
    </cfRule>
  </conditionalFormatting>
  <conditionalFormatting sqref="C4:AL21">
    <cfRule type="expression" dxfId="0" priority="5">
      <formula>C$4&lt;&gt;""</formula>
    </cfRule>
  </conditionalFormatting>
  <dataValidations count="2">
    <dataValidation type="list" allowBlank="1" showInputMessage="1" showErrorMessage="1" sqref="B2" xr:uid="{2EAC36EC-12F7-4DAE-AFC2-7139141C2B9A}">
      <formula1>"2026,2027,2028"</formula1>
    </dataValidation>
    <dataValidation type="custom" allowBlank="1" showInputMessage="1" showErrorMessage="1" errorTitle="Weekly Off (Sunday)" error="The Entry is Not Allowed" sqref="C7:AG21" xr:uid="{5DE04D62-AC42-4785-A412-85945A628956}">
      <formula1>C5&lt;&gt;"Sun"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814E17-0D45-4009-AC6C-1FB2E7F4658A}">
          <x14:formula1>
            <xm:f>months!$A$1:$A$12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3FF6-CA05-4AD1-AE13-475AC8DE87B6}">
  <dimension ref="A1:R19"/>
  <sheetViews>
    <sheetView tabSelected="1" zoomScale="97" workbookViewId="0">
      <selection activeCell="A4" sqref="A4"/>
    </sheetView>
  </sheetViews>
  <sheetFormatPr defaultRowHeight="14.4" x14ac:dyDescent="0.3"/>
  <cols>
    <col min="2" max="3" width="15.44140625" customWidth="1"/>
    <col min="4" max="4" width="9.77734375" customWidth="1"/>
    <col min="5" max="5" width="11.33203125" customWidth="1"/>
    <col min="6" max="6" width="14.33203125" customWidth="1"/>
    <col min="8" max="8" width="14.33203125" customWidth="1"/>
    <col min="9" max="9" width="9.6640625" customWidth="1"/>
    <col min="10" max="10" width="16.6640625" customWidth="1"/>
    <col min="11" max="11" width="7.21875" customWidth="1"/>
    <col min="12" max="12" width="8.5546875" customWidth="1"/>
    <col min="13" max="13" width="8.109375" customWidth="1"/>
    <col min="14" max="14" width="11.33203125" customWidth="1"/>
    <col min="15" max="15" width="11.21875" bestFit="1" customWidth="1"/>
  </cols>
  <sheetData>
    <row r="1" spans="1:18" ht="14.4" customHeight="1" x14ac:dyDescent="0.3">
      <c r="A1" s="23" t="str">
        <f>"Fully Automatic Attendance Sheet -"&amp;'Attendance sheet'!A2&amp;""&amp;'Attendance sheet'!B2&amp;""</f>
        <v>Fully Automatic Attendance Sheet -june2026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P1" s="32" t="s">
        <v>80</v>
      </c>
      <c r="Q1" s="32"/>
      <c r="R1" s="32"/>
    </row>
    <row r="2" spans="1:18" ht="14.4" customHeight="1" x14ac:dyDescent="0.3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  <c r="P2" s="32"/>
      <c r="Q2" s="32"/>
      <c r="R2" s="32"/>
    </row>
    <row r="3" spans="1:18" ht="14.4" customHeight="1" x14ac:dyDescent="0.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  <c r="P3" s="32"/>
      <c r="Q3" s="32"/>
      <c r="R3" s="32"/>
    </row>
    <row r="4" spans="1:18" ht="43.2" customHeight="1" x14ac:dyDescent="0.3">
      <c r="A4" s="8" t="s">
        <v>54</v>
      </c>
      <c r="B4" s="7" t="s">
        <v>55</v>
      </c>
      <c r="C4" s="7" t="s">
        <v>56</v>
      </c>
      <c r="D4" s="7" t="s">
        <v>57</v>
      </c>
      <c r="E4" s="7" t="s">
        <v>44</v>
      </c>
      <c r="F4" s="7" t="s">
        <v>59</v>
      </c>
      <c r="G4" s="7" t="s">
        <v>58</v>
      </c>
      <c r="H4" s="7" t="s">
        <v>60</v>
      </c>
      <c r="I4" s="7" t="s">
        <v>61</v>
      </c>
      <c r="J4" s="7" t="s">
        <v>77</v>
      </c>
      <c r="K4" s="7" t="s">
        <v>62</v>
      </c>
      <c r="L4" s="7" t="s">
        <v>63</v>
      </c>
      <c r="M4" s="7" t="s">
        <v>69</v>
      </c>
      <c r="N4" s="7" t="s">
        <v>64</v>
      </c>
      <c r="O4" s="7" t="s">
        <v>65</v>
      </c>
      <c r="P4" s="7" t="s">
        <v>66</v>
      </c>
      <c r="Q4" s="7" t="s">
        <v>67</v>
      </c>
      <c r="R4" s="7" t="s">
        <v>68</v>
      </c>
    </row>
    <row r="5" spans="1:18" x14ac:dyDescent="0.3">
      <c r="A5" s="1" t="s">
        <v>14</v>
      </c>
      <c r="B5" s="1" t="str">
        <f>'Attendance sheet'!B7</f>
        <v>Vedika Dhulam</v>
      </c>
      <c r="C5" s="1" t="s">
        <v>70</v>
      </c>
      <c r="D5" s="1">
        <v>30000</v>
      </c>
      <c r="E5" s="1">
        <f>'Attendance sheet'!AH7</f>
        <v>30</v>
      </c>
      <c r="F5" s="1">
        <f>SUM('Attendance sheet'!AI7:AK7)</f>
        <v>24</v>
      </c>
      <c r="G5" s="10">
        <f>D5/E5</f>
        <v>1000</v>
      </c>
      <c r="H5" s="1">
        <f>F5*G5</f>
        <v>24000</v>
      </c>
      <c r="I5" s="1">
        <f>D5*12%</f>
        <v>3600</v>
      </c>
      <c r="J5" s="1" t="s">
        <v>78</v>
      </c>
      <c r="K5" s="1">
        <f>IF(J5="Metro",D5*50%,D5*40%)</f>
        <v>15000</v>
      </c>
      <c r="L5" s="1">
        <v>1000</v>
      </c>
      <c r="M5" s="1">
        <v>10</v>
      </c>
      <c r="N5" s="10">
        <f>G5/9*M5</f>
        <v>1111.1111111111111</v>
      </c>
      <c r="O5" s="10">
        <f>H5+I5+K5+L5+N5</f>
        <v>44711.111111111109</v>
      </c>
      <c r="P5" s="1">
        <f>D5*12%</f>
        <v>3600</v>
      </c>
      <c r="Q5" s="33" t="str">
        <f>IF(O5&lt;=21000,O5*0.75%,"N/A")</f>
        <v>N/A</v>
      </c>
      <c r="R5" s="10">
        <f>IF(ISNUMBER(Q5),O5-P5-Q5,O5-P5)</f>
        <v>41111.111111111109</v>
      </c>
    </row>
    <row r="6" spans="1:18" x14ac:dyDescent="0.3">
      <c r="A6" s="1" t="s">
        <v>15</v>
      </c>
      <c r="B6" s="1" t="str">
        <f>'Attendance sheet'!B8</f>
        <v>Shraddha Dhulam</v>
      </c>
      <c r="C6" s="1" t="s">
        <v>71</v>
      </c>
      <c r="D6" s="1">
        <v>25000</v>
      </c>
      <c r="E6" s="1">
        <f>'Attendance sheet'!AH8</f>
        <v>30</v>
      </c>
      <c r="F6" s="1">
        <f>SUM('Attendance sheet'!AI8:AK8)</f>
        <v>23</v>
      </c>
      <c r="G6" s="10">
        <f t="shared" ref="G6:G19" si="0">D6/E6</f>
        <v>833.33333333333337</v>
      </c>
      <c r="H6" s="1">
        <f t="shared" ref="H6:H18" si="1">F6*G6</f>
        <v>19166.666666666668</v>
      </c>
      <c r="I6" s="1">
        <f t="shared" ref="I6:I19" si="2">D6*12%</f>
        <v>3000</v>
      </c>
      <c r="J6" s="1" t="s">
        <v>79</v>
      </c>
      <c r="K6" s="1">
        <f t="shared" ref="K6:K19" si="3">IF(J6="Metro",D6*50%,D6*40%)</f>
        <v>10000</v>
      </c>
      <c r="L6" s="9">
        <v>2000</v>
      </c>
      <c r="M6" s="1">
        <v>15</v>
      </c>
      <c r="N6" s="10">
        <f t="shared" ref="N6:N19" si="4">G6/9*M6</f>
        <v>1388.8888888888889</v>
      </c>
      <c r="O6" s="10">
        <f t="shared" ref="O6:O19" si="5">H6+I6+K6+L6+N6</f>
        <v>35555.555555555562</v>
      </c>
      <c r="P6" s="1">
        <f>D6*12%</f>
        <v>3000</v>
      </c>
      <c r="Q6" s="33" t="str">
        <f t="shared" ref="Q6:Q19" si="6">IF(O6&lt;=21000,O6*0.75%,"N/A")</f>
        <v>N/A</v>
      </c>
      <c r="R6" s="10">
        <f t="shared" ref="R6:R19" si="7">IF(ISNUMBER(Q6),O6-P6-Q6,O6-P6)</f>
        <v>32555.555555555562</v>
      </c>
    </row>
    <row r="7" spans="1:18" x14ac:dyDescent="0.3">
      <c r="A7" s="1" t="s">
        <v>16</v>
      </c>
      <c r="B7" s="1" t="str">
        <f>'Attendance sheet'!B9</f>
        <v>Esha Waghmode</v>
      </c>
      <c r="C7" s="1" t="s">
        <v>71</v>
      </c>
      <c r="D7" s="1">
        <v>18000</v>
      </c>
      <c r="E7" s="1">
        <f>'Attendance sheet'!AH9</f>
        <v>30</v>
      </c>
      <c r="F7" s="1">
        <f>SUM('Attendance sheet'!AI9:AK9)</f>
        <v>25</v>
      </c>
      <c r="G7" s="10">
        <f t="shared" si="0"/>
        <v>600</v>
      </c>
      <c r="H7" s="1">
        <f t="shared" si="1"/>
        <v>15000</v>
      </c>
      <c r="I7" s="1">
        <f t="shared" si="2"/>
        <v>2160</v>
      </c>
      <c r="J7" s="1" t="s">
        <v>79</v>
      </c>
      <c r="K7" s="1">
        <f t="shared" si="3"/>
        <v>7200</v>
      </c>
      <c r="L7" s="1">
        <v>1000</v>
      </c>
      <c r="M7" s="1">
        <v>20</v>
      </c>
      <c r="N7" s="10">
        <f t="shared" si="4"/>
        <v>1333.3333333333335</v>
      </c>
      <c r="O7" s="10">
        <f t="shared" si="5"/>
        <v>26693.333333333332</v>
      </c>
      <c r="P7" s="1">
        <f t="shared" ref="P7:P19" si="8">D7*12%</f>
        <v>2160</v>
      </c>
      <c r="Q7" s="33" t="str">
        <f t="shared" si="6"/>
        <v>N/A</v>
      </c>
      <c r="R7" s="10">
        <f t="shared" si="7"/>
        <v>24533.333333333332</v>
      </c>
    </row>
    <row r="8" spans="1:18" x14ac:dyDescent="0.3">
      <c r="A8" s="1" t="s">
        <v>17</v>
      </c>
      <c r="B8" s="1" t="str">
        <f>'Attendance sheet'!B10</f>
        <v>Sandeep Wanga</v>
      </c>
      <c r="C8" s="1" t="s">
        <v>71</v>
      </c>
      <c r="D8" s="1">
        <v>15000</v>
      </c>
      <c r="E8" s="1">
        <f>'Attendance sheet'!AH10</f>
        <v>30</v>
      </c>
      <c r="F8" s="1">
        <f>SUM('Attendance sheet'!AI10:AK10)</f>
        <v>23</v>
      </c>
      <c r="G8" s="10">
        <f t="shared" si="0"/>
        <v>500</v>
      </c>
      <c r="H8" s="1">
        <f t="shared" si="1"/>
        <v>11500</v>
      </c>
      <c r="I8" s="1">
        <f t="shared" si="2"/>
        <v>1800</v>
      </c>
      <c r="J8" s="1" t="s">
        <v>78</v>
      </c>
      <c r="K8" s="1">
        <f t="shared" si="3"/>
        <v>7500</v>
      </c>
      <c r="L8" s="1">
        <v>3000</v>
      </c>
      <c r="M8" s="1">
        <v>25</v>
      </c>
      <c r="N8" s="10">
        <f t="shared" si="4"/>
        <v>1388.8888888888889</v>
      </c>
      <c r="O8" s="10">
        <f t="shared" si="5"/>
        <v>25188.888888888891</v>
      </c>
      <c r="P8" s="1">
        <f t="shared" si="8"/>
        <v>1800</v>
      </c>
      <c r="Q8" s="33" t="str">
        <f t="shared" si="6"/>
        <v>N/A</v>
      </c>
      <c r="R8" s="10">
        <f t="shared" si="7"/>
        <v>23388.888888888891</v>
      </c>
    </row>
    <row r="9" spans="1:18" x14ac:dyDescent="0.3">
      <c r="A9" s="1" t="s">
        <v>18</v>
      </c>
      <c r="B9" s="1" t="str">
        <f>'Attendance sheet'!B11</f>
        <v>Revti Maise</v>
      </c>
      <c r="C9" s="1" t="s">
        <v>72</v>
      </c>
      <c r="D9" s="1">
        <v>15000</v>
      </c>
      <c r="E9" s="1">
        <f>'Attendance sheet'!AH11</f>
        <v>30</v>
      </c>
      <c r="F9" s="1">
        <f>SUM('Attendance sheet'!AI11:AK11)</f>
        <v>24</v>
      </c>
      <c r="G9" s="10">
        <f t="shared" si="0"/>
        <v>500</v>
      </c>
      <c r="H9" s="1">
        <f t="shared" si="1"/>
        <v>12000</v>
      </c>
      <c r="I9" s="1">
        <f t="shared" si="2"/>
        <v>1800</v>
      </c>
      <c r="J9" s="1" t="s">
        <v>78</v>
      </c>
      <c r="K9" s="1">
        <f t="shared" si="3"/>
        <v>7500</v>
      </c>
      <c r="L9" s="1">
        <v>2000</v>
      </c>
      <c r="M9" s="1">
        <v>20</v>
      </c>
      <c r="N9" s="10">
        <f t="shared" si="4"/>
        <v>1111.1111111111111</v>
      </c>
      <c r="O9" s="10">
        <f t="shared" si="5"/>
        <v>24411.111111111109</v>
      </c>
      <c r="P9" s="1">
        <f t="shared" si="8"/>
        <v>1800</v>
      </c>
      <c r="Q9" s="33" t="str">
        <f t="shared" si="6"/>
        <v>N/A</v>
      </c>
      <c r="R9" s="10">
        <f t="shared" si="7"/>
        <v>22611.111111111109</v>
      </c>
    </row>
    <row r="10" spans="1:18" x14ac:dyDescent="0.3">
      <c r="A10" s="1" t="s">
        <v>19</v>
      </c>
      <c r="B10" s="1" t="str">
        <f>'Attendance sheet'!B12</f>
        <v>Deepika Patil</v>
      </c>
      <c r="C10" s="1" t="s">
        <v>73</v>
      </c>
      <c r="D10" s="1">
        <v>12000</v>
      </c>
      <c r="E10" s="1">
        <f>'Attendance sheet'!AH12</f>
        <v>30</v>
      </c>
      <c r="F10" s="1">
        <f>SUM('Attendance sheet'!AI12:AK12)</f>
        <v>22</v>
      </c>
      <c r="G10" s="10">
        <f t="shared" si="0"/>
        <v>400</v>
      </c>
      <c r="H10" s="1">
        <f t="shared" si="1"/>
        <v>8800</v>
      </c>
      <c r="I10" s="1">
        <f t="shared" si="2"/>
        <v>1440</v>
      </c>
      <c r="J10" s="1" t="s">
        <v>78</v>
      </c>
      <c r="K10" s="1">
        <f t="shared" si="3"/>
        <v>6000</v>
      </c>
      <c r="L10" s="1">
        <v>1000</v>
      </c>
      <c r="M10" s="1">
        <v>12</v>
      </c>
      <c r="N10" s="10">
        <f t="shared" si="4"/>
        <v>533.33333333333326</v>
      </c>
      <c r="O10" s="10">
        <f t="shared" si="5"/>
        <v>17773.333333333332</v>
      </c>
      <c r="P10" s="1">
        <f t="shared" si="8"/>
        <v>1440</v>
      </c>
      <c r="Q10" s="33">
        <f t="shared" si="6"/>
        <v>133.29999999999998</v>
      </c>
      <c r="R10" s="10">
        <f t="shared" si="7"/>
        <v>16200.033333333333</v>
      </c>
    </row>
    <row r="11" spans="1:18" x14ac:dyDescent="0.3">
      <c r="A11" s="1" t="s">
        <v>20</v>
      </c>
      <c r="B11" s="1" t="str">
        <f>'Attendance sheet'!B13</f>
        <v>Rani Devkar</v>
      </c>
      <c r="C11" s="1" t="s">
        <v>74</v>
      </c>
      <c r="D11" s="1">
        <v>12000</v>
      </c>
      <c r="E11" s="1">
        <f>'Attendance sheet'!AH13</f>
        <v>30</v>
      </c>
      <c r="F11" s="1">
        <f>SUM('Attendance sheet'!AI13:AK13)</f>
        <v>24</v>
      </c>
      <c r="G11" s="10">
        <f t="shared" si="0"/>
        <v>400</v>
      </c>
      <c r="H11" s="1">
        <f t="shared" si="1"/>
        <v>9600</v>
      </c>
      <c r="I11" s="1">
        <f t="shared" si="2"/>
        <v>1440</v>
      </c>
      <c r="J11" s="1" t="s">
        <v>79</v>
      </c>
      <c r="K11" s="1">
        <f t="shared" si="3"/>
        <v>4800</v>
      </c>
      <c r="L11" s="1">
        <v>3000</v>
      </c>
      <c r="M11" s="1">
        <v>15</v>
      </c>
      <c r="N11" s="10">
        <f t="shared" si="4"/>
        <v>666.66666666666663</v>
      </c>
      <c r="O11" s="10">
        <f t="shared" si="5"/>
        <v>19506.666666666668</v>
      </c>
      <c r="P11" s="1">
        <f t="shared" si="8"/>
        <v>1440</v>
      </c>
      <c r="Q11" s="33">
        <f t="shared" si="6"/>
        <v>146.30000000000001</v>
      </c>
      <c r="R11" s="10">
        <f t="shared" si="7"/>
        <v>17920.366666666669</v>
      </c>
    </row>
    <row r="12" spans="1:18" x14ac:dyDescent="0.3">
      <c r="A12" s="1" t="s">
        <v>21</v>
      </c>
      <c r="B12" s="1" t="str">
        <f>'Attendance sheet'!B14</f>
        <v>Somnat Rathod</v>
      </c>
      <c r="C12" s="1" t="s">
        <v>75</v>
      </c>
      <c r="D12" s="1">
        <v>12000</v>
      </c>
      <c r="E12" s="1">
        <f>'Attendance sheet'!AH14</f>
        <v>30</v>
      </c>
      <c r="F12" s="1">
        <f>SUM('Attendance sheet'!AI14:AK14)</f>
        <v>23</v>
      </c>
      <c r="G12" s="10">
        <f t="shared" si="0"/>
        <v>400</v>
      </c>
      <c r="H12" s="1">
        <f t="shared" si="1"/>
        <v>9200</v>
      </c>
      <c r="I12" s="1">
        <f t="shared" si="2"/>
        <v>1440</v>
      </c>
      <c r="J12" s="1" t="s">
        <v>79</v>
      </c>
      <c r="K12" s="1">
        <f t="shared" si="3"/>
        <v>4800</v>
      </c>
      <c r="L12" s="1">
        <v>2000</v>
      </c>
      <c r="M12" s="1">
        <v>25</v>
      </c>
      <c r="N12" s="10">
        <f t="shared" si="4"/>
        <v>1111.1111111111111</v>
      </c>
      <c r="O12" s="10">
        <f t="shared" si="5"/>
        <v>18551.111111111109</v>
      </c>
      <c r="P12" s="1">
        <f t="shared" si="8"/>
        <v>1440</v>
      </c>
      <c r="Q12" s="33">
        <f t="shared" si="6"/>
        <v>139.13333333333333</v>
      </c>
      <c r="R12" s="10">
        <f t="shared" si="7"/>
        <v>16971.977777777774</v>
      </c>
    </row>
    <row r="13" spans="1:18" x14ac:dyDescent="0.3">
      <c r="A13" s="1" t="s">
        <v>22</v>
      </c>
      <c r="B13" s="1" t="str">
        <f>'Attendance sheet'!B15</f>
        <v>Rutuja Basargi</v>
      </c>
      <c r="C13" s="1" t="s">
        <v>76</v>
      </c>
      <c r="D13" s="1">
        <v>12000</v>
      </c>
      <c r="E13" s="1">
        <f>'Attendance sheet'!AH15</f>
        <v>30</v>
      </c>
      <c r="F13" s="1">
        <f>SUM('Attendance sheet'!AI15:AK15)</f>
        <v>21</v>
      </c>
      <c r="G13" s="10">
        <f t="shared" si="0"/>
        <v>400</v>
      </c>
      <c r="H13" s="1">
        <f t="shared" si="1"/>
        <v>8400</v>
      </c>
      <c r="I13" s="1">
        <f t="shared" si="2"/>
        <v>1440</v>
      </c>
      <c r="J13" s="1" t="s">
        <v>78</v>
      </c>
      <c r="K13" s="1">
        <f t="shared" si="3"/>
        <v>6000</v>
      </c>
      <c r="L13" s="1">
        <v>1000</v>
      </c>
      <c r="M13" s="1">
        <v>20</v>
      </c>
      <c r="N13" s="10">
        <f t="shared" si="4"/>
        <v>888.88888888888891</v>
      </c>
      <c r="O13" s="10">
        <f t="shared" si="5"/>
        <v>17728.888888888891</v>
      </c>
      <c r="P13" s="1">
        <f t="shared" si="8"/>
        <v>1440</v>
      </c>
      <c r="Q13" s="33">
        <f t="shared" si="6"/>
        <v>132.96666666666667</v>
      </c>
      <c r="R13" s="10">
        <f t="shared" si="7"/>
        <v>16155.922222222223</v>
      </c>
    </row>
    <row r="14" spans="1:18" x14ac:dyDescent="0.3">
      <c r="A14" s="1" t="s">
        <v>23</v>
      </c>
      <c r="B14" s="1" t="str">
        <f>'Attendance sheet'!B16</f>
        <v>Soham Dhulam</v>
      </c>
      <c r="C14" s="1" t="s">
        <v>70</v>
      </c>
      <c r="D14" s="1">
        <v>10000</v>
      </c>
      <c r="E14" s="1">
        <f>'Attendance sheet'!AH16</f>
        <v>30</v>
      </c>
      <c r="F14" s="1">
        <f>SUM('Attendance sheet'!AI16:AK16)</f>
        <v>4</v>
      </c>
      <c r="G14" s="10">
        <f t="shared" si="0"/>
        <v>333.33333333333331</v>
      </c>
      <c r="H14" s="1">
        <f t="shared" si="1"/>
        <v>1333.3333333333333</v>
      </c>
      <c r="I14" s="1">
        <f t="shared" si="2"/>
        <v>1200</v>
      </c>
      <c r="J14" s="1" t="s">
        <v>78</v>
      </c>
      <c r="K14" s="1">
        <f t="shared" si="3"/>
        <v>5000</v>
      </c>
      <c r="L14" s="1">
        <v>1000</v>
      </c>
      <c r="M14" s="1">
        <v>10</v>
      </c>
      <c r="N14" s="10">
        <f t="shared" si="4"/>
        <v>370.37037037037038</v>
      </c>
      <c r="O14" s="10">
        <f t="shared" si="5"/>
        <v>8903.7037037037026</v>
      </c>
      <c r="P14" s="1">
        <f t="shared" si="8"/>
        <v>1200</v>
      </c>
      <c r="Q14" s="33">
        <f t="shared" si="6"/>
        <v>66.777777777777771</v>
      </c>
      <c r="R14" s="10">
        <f t="shared" si="7"/>
        <v>7636.9259259259252</v>
      </c>
    </row>
    <row r="15" spans="1:18" x14ac:dyDescent="0.3">
      <c r="A15" s="1" t="s">
        <v>24</v>
      </c>
      <c r="B15" s="1" t="str">
        <f>'Attendance sheet'!B17</f>
        <v>Araya Shitole</v>
      </c>
      <c r="C15" s="1" t="s">
        <v>72</v>
      </c>
      <c r="D15" s="1">
        <v>10000</v>
      </c>
      <c r="E15" s="1">
        <f>'Attendance sheet'!AH17</f>
        <v>30</v>
      </c>
      <c r="F15" s="1">
        <f>SUM('Attendance sheet'!AI17:AK17)</f>
        <v>25</v>
      </c>
      <c r="G15" s="10">
        <f t="shared" si="0"/>
        <v>333.33333333333331</v>
      </c>
      <c r="H15" s="1">
        <f t="shared" si="1"/>
        <v>8333.3333333333321</v>
      </c>
      <c r="I15" s="1">
        <f t="shared" si="2"/>
        <v>1200</v>
      </c>
      <c r="J15" s="1" t="s">
        <v>78</v>
      </c>
      <c r="K15" s="1">
        <f t="shared" si="3"/>
        <v>5000</v>
      </c>
      <c r="L15" s="1">
        <v>2000</v>
      </c>
      <c r="M15" s="1">
        <v>22</v>
      </c>
      <c r="N15" s="10">
        <f t="shared" si="4"/>
        <v>814.81481481481478</v>
      </c>
      <c r="O15" s="10">
        <f t="shared" si="5"/>
        <v>17348.148148148146</v>
      </c>
      <c r="P15" s="1">
        <f t="shared" si="8"/>
        <v>1200</v>
      </c>
      <c r="Q15" s="33">
        <f t="shared" si="6"/>
        <v>130.11111111111109</v>
      </c>
      <c r="R15" s="10">
        <f t="shared" si="7"/>
        <v>16018.037037037035</v>
      </c>
    </row>
    <row r="16" spans="1:18" x14ac:dyDescent="0.3">
      <c r="A16" s="1" t="s">
        <v>25</v>
      </c>
      <c r="B16" s="1" t="str">
        <f>'Attendance sheet'!B18</f>
        <v>Shalva Patil</v>
      </c>
      <c r="C16" s="1" t="s">
        <v>73</v>
      </c>
      <c r="D16" s="1">
        <v>10000</v>
      </c>
      <c r="E16" s="1">
        <f>'Attendance sheet'!AH18</f>
        <v>30</v>
      </c>
      <c r="F16" s="1">
        <f>SUM('Attendance sheet'!AI18:AK18)</f>
        <v>24</v>
      </c>
      <c r="G16" s="10">
        <f t="shared" si="0"/>
        <v>333.33333333333331</v>
      </c>
      <c r="H16" s="1">
        <f t="shared" si="1"/>
        <v>8000</v>
      </c>
      <c r="I16" s="1">
        <f t="shared" si="2"/>
        <v>1200</v>
      </c>
      <c r="J16" s="1" t="s">
        <v>79</v>
      </c>
      <c r="K16" s="1">
        <f t="shared" si="3"/>
        <v>4000</v>
      </c>
      <c r="L16" s="1">
        <v>2000</v>
      </c>
      <c r="M16" s="1">
        <v>23</v>
      </c>
      <c r="N16" s="10">
        <f t="shared" si="4"/>
        <v>851.85185185185185</v>
      </c>
      <c r="O16" s="10">
        <f t="shared" si="5"/>
        <v>16051.851851851852</v>
      </c>
      <c r="P16" s="1">
        <f t="shared" si="8"/>
        <v>1200</v>
      </c>
      <c r="Q16" s="33">
        <f t="shared" si="6"/>
        <v>120.38888888888889</v>
      </c>
      <c r="R16" s="10">
        <f t="shared" si="7"/>
        <v>14731.462962962964</v>
      </c>
    </row>
    <row r="17" spans="1:18" x14ac:dyDescent="0.3">
      <c r="A17" s="1" t="s">
        <v>26</v>
      </c>
      <c r="B17" s="1" t="str">
        <f>'Attendance sheet'!B19</f>
        <v>Vani Kurapathi</v>
      </c>
      <c r="C17" s="1" t="s">
        <v>76</v>
      </c>
      <c r="D17" s="1">
        <v>12000</v>
      </c>
      <c r="E17" s="1">
        <f>'Attendance sheet'!AH19</f>
        <v>30</v>
      </c>
      <c r="F17" s="1">
        <f>SUM('Attendance sheet'!AI19:AK19)</f>
        <v>25</v>
      </c>
      <c r="G17" s="10">
        <f t="shared" si="0"/>
        <v>400</v>
      </c>
      <c r="H17" s="1">
        <f t="shared" si="1"/>
        <v>10000</v>
      </c>
      <c r="I17" s="1">
        <f t="shared" si="2"/>
        <v>1440</v>
      </c>
      <c r="J17" s="1" t="s">
        <v>79</v>
      </c>
      <c r="K17" s="1">
        <f t="shared" si="3"/>
        <v>4800</v>
      </c>
      <c r="L17" s="9">
        <v>3000</v>
      </c>
      <c r="M17" s="1">
        <v>15</v>
      </c>
      <c r="N17" s="10">
        <f t="shared" si="4"/>
        <v>666.66666666666663</v>
      </c>
      <c r="O17" s="10">
        <f t="shared" si="5"/>
        <v>19906.666666666668</v>
      </c>
      <c r="P17" s="1">
        <f t="shared" si="8"/>
        <v>1440</v>
      </c>
      <c r="Q17" s="33">
        <f t="shared" si="6"/>
        <v>149.30000000000001</v>
      </c>
      <c r="R17" s="10">
        <f t="shared" si="7"/>
        <v>18317.366666666669</v>
      </c>
    </row>
    <row r="18" spans="1:18" x14ac:dyDescent="0.3">
      <c r="A18" s="1" t="s">
        <v>27</v>
      </c>
      <c r="B18" s="1" t="str">
        <f>'Attendance sheet'!B20</f>
        <v>Rohan Mane</v>
      </c>
      <c r="C18" s="1" t="s">
        <v>74</v>
      </c>
      <c r="D18" s="1">
        <v>12000</v>
      </c>
      <c r="E18" s="1">
        <f>'Attendance sheet'!AH20</f>
        <v>30</v>
      </c>
      <c r="F18" s="1">
        <f>SUM('Attendance sheet'!AI20:AK20)</f>
        <v>23</v>
      </c>
      <c r="G18" s="10">
        <f t="shared" si="0"/>
        <v>400</v>
      </c>
      <c r="H18" s="1">
        <f t="shared" si="1"/>
        <v>9200</v>
      </c>
      <c r="I18" s="1">
        <f t="shared" si="2"/>
        <v>1440</v>
      </c>
      <c r="J18" s="1" t="s">
        <v>79</v>
      </c>
      <c r="K18" s="1">
        <f t="shared" si="3"/>
        <v>4800</v>
      </c>
      <c r="L18" s="1">
        <v>1000</v>
      </c>
      <c r="M18" s="1">
        <v>10</v>
      </c>
      <c r="N18" s="10">
        <f t="shared" si="4"/>
        <v>444.44444444444446</v>
      </c>
      <c r="O18" s="10">
        <f t="shared" si="5"/>
        <v>16884.444444444445</v>
      </c>
      <c r="P18" s="1">
        <f t="shared" si="8"/>
        <v>1440</v>
      </c>
      <c r="Q18" s="33">
        <f t="shared" si="6"/>
        <v>126.63333333333334</v>
      </c>
      <c r="R18" s="10">
        <f t="shared" si="7"/>
        <v>15317.811111111112</v>
      </c>
    </row>
    <row r="19" spans="1:18" x14ac:dyDescent="0.3">
      <c r="A19" s="1" t="s">
        <v>28</v>
      </c>
      <c r="B19" s="1" t="str">
        <f>'Attendance sheet'!B21</f>
        <v>Kaveri Rebba</v>
      </c>
      <c r="C19" s="1" t="s">
        <v>71</v>
      </c>
      <c r="D19" s="1">
        <v>18000</v>
      </c>
      <c r="E19" s="1">
        <f>'Attendance sheet'!AH21</f>
        <v>30</v>
      </c>
      <c r="F19" s="1">
        <f>SUM('Attendance sheet'!AI21:AK21)</f>
        <v>23</v>
      </c>
      <c r="G19" s="10">
        <f t="shared" si="0"/>
        <v>600</v>
      </c>
      <c r="H19" s="1">
        <f>F19*G19</f>
        <v>13800</v>
      </c>
      <c r="I19" s="1">
        <f t="shared" si="2"/>
        <v>2160</v>
      </c>
      <c r="J19" s="1" t="s">
        <v>78</v>
      </c>
      <c r="K19" s="1">
        <f t="shared" si="3"/>
        <v>9000</v>
      </c>
      <c r="L19" s="1">
        <v>1000</v>
      </c>
      <c r="M19" s="1">
        <v>13</v>
      </c>
      <c r="N19" s="10">
        <f t="shared" si="4"/>
        <v>866.66666666666674</v>
      </c>
      <c r="O19" s="10">
        <f t="shared" si="5"/>
        <v>26826.666666666668</v>
      </c>
      <c r="P19" s="1">
        <f t="shared" si="8"/>
        <v>2160</v>
      </c>
      <c r="Q19" s="33" t="str">
        <f t="shared" si="6"/>
        <v>N/A</v>
      </c>
      <c r="R19" s="10">
        <f t="shared" si="7"/>
        <v>24666.666666666668</v>
      </c>
    </row>
  </sheetData>
  <mergeCells count="2">
    <mergeCell ref="A1:O3"/>
    <mergeCell ref="P1:R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208A-0F30-4186-A2D6-89E319D9E764}">
  <dimension ref="A1:A12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sheet</vt:lpstr>
      <vt:lpstr>Database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Dhulam</dc:creator>
  <cp:lastModifiedBy>Aishwarya Dhulam</cp:lastModifiedBy>
  <dcterms:created xsi:type="dcterms:W3CDTF">2026-07-10T12:46:55Z</dcterms:created>
  <dcterms:modified xsi:type="dcterms:W3CDTF">2026-07-19T08:08:26Z</dcterms:modified>
</cp:coreProperties>
</file>